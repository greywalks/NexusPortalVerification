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7184" yWindow="0" windowWidth="17472" windowHeight="20976" tabRatio="600" firstSheet="0" activeTab="0" autoFilterDateGrouping="1"/>
  </bookViews>
  <sheets>
    <sheet xmlns:r="http://schemas.openxmlformats.org/officeDocument/2006/relationships" name="Breakdown" sheetId="1" state="visible" r:id="rId1"/>
    <sheet xmlns:r="http://schemas.openxmlformats.org/officeDocument/2006/relationships" name="Part Testing &amp; Programming" sheetId="2" state="visible" r:id="rId2"/>
    <sheet xmlns:r="http://schemas.openxmlformats.org/officeDocument/2006/relationships" name="Unit Storage" sheetId="3" state="visible" r:id="rId3"/>
    <sheet xmlns:r="http://schemas.openxmlformats.org/officeDocument/2006/relationships" name="Unit Receiving" sheetId="4" state="visible" r:id="rId4"/>
    <sheet xmlns:r="http://schemas.openxmlformats.org/officeDocument/2006/relationships" name="Units Shipped" sheetId="5" state="visible" r:id="rId5"/>
    <sheet xmlns:r="http://schemas.openxmlformats.org/officeDocument/2006/relationships" name="Small Parts Check In" sheetId="6" state="visible" r:id="rId6"/>
    <sheet xmlns:r="http://schemas.openxmlformats.org/officeDocument/2006/relationships" name="Unmatched Parts &amp; Units" sheetId="7" state="visible" r:id="rId7"/>
  </sheets>
  <definedNames>
    <definedName name="_xlnm.Print_Area" localSheetId="0">'Breakdown'!$A$1:$E$22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0">
    <font>
      <name val="Aptos Narrow"/>
      <family val="2"/>
      <color theme="1"/>
      <sz val="11"/>
      <scheme val="minor"/>
    </font>
    <font>
      <name val="Arial"/>
      <family val="2"/>
      <sz val="10"/>
    </font>
    <font>
      <name val="Aptos Display"/>
      <family val="2"/>
      <color theme="1"/>
      <sz val="10"/>
      <scheme val="major"/>
    </font>
    <font>
      <name val="Calibri"/>
      <family val="2"/>
      <sz val="8"/>
    </font>
    <font>
      <name val="Calibri"/>
      <family val="2"/>
      <color theme="10"/>
      <sz val="8"/>
      <u val="single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16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Calibri"/>
      <family val="2"/>
      <b val="1"/>
      <sz val="11"/>
    </font>
    <font>
      <name val="Calibri"/>
      <family val="2"/>
      <color theme="1"/>
      <sz val="11"/>
    </font>
    <font>
      <name val="Calibri"/>
      <sz val="8"/>
    </font>
    <font>
      <name val="Calibri"/>
      <color theme="10"/>
      <sz val="8"/>
      <u val="single"/>
    </font>
    <font>
      <name val="Calibri"/>
      <b val="1"/>
      <sz val="9"/>
    </font>
    <font>
      <name val="Calibri"/>
      <sz val="9"/>
    </font>
    <font>
      <name val="Calibri"/>
      <b val="1"/>
      <sz val="16"/>
    </font>
    <font>
      <name val="Calibri"/>
      <b val="1"/>
      <color theme="1"/>
      <sz val="10"/>
    </font>
    <font>
      <name val="Calibri"/>
      <color theme="1"/>
      <sz val="10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theme="0" tint="-0.249977111117893"/>
        <bgColor indexed="65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0" tint="-0.249977111117893"/>
      </patternFill>
    </fill>
    <fill>
      <patternFill patternType="solid">
        <fgColor theme="4" tint="0.79998168889431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horizontal="right"/>
    </xf>
    <xf numFmtId="0" fontId="6" fillId="0" borderId="0" pivotButton="0" quotePrefix="0" xfId="0"/>
    <xf numFmtId="0" fontId="4" fillId="0" borderId="0" pivotButton="0" quotePrefix="0" xfId="0"/>
    <xf numFmtId="0" fontId="8" fillId="2" borderId="0" pivotButton="0" quotePrefix="0" xfId="0"/>
    <xf numFmtId="0" fontId="8" fillId="2" borderId="0" applyAlignment="1" pivotButton="0" quotePrefix="0" xfId="0">
      <alignment horizontal="center"/>
    </xf>
    <xf numFmtId="0" fontId="9" fillId="0" borderId="0" pivotButton="0" quotePrefix="0" xfId="0"/>
    <xf numFmtId="164" fontId="9" fillId="0" borderId="0" pivotButton="0" quotePrefix="0" xfId="0"/>
    <xf numFmtId="3" fontId="9" fillId="0" borderId="0" pivotButton="0" quotePrefix="0" xfId="0"/>
    <xf numFmtId="0" fontId="8" fillId="0" borderId="0" pivotButton="0" quotePrefix="0" xfId="0"/>
    <xf numFmtId="164" fontId="8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164" fontId="11" fillId="0" borderId="0" pivotButton="0" quotePrefix="0" xfId="0"/>
    <xf numFmtId="0" fontId="11" fillId="0" borderId="0" applyAlignment="1" pivotButton="0" quotePrefix="0" xfId="0">
      <alignment horizontal="left"/>
    </xf>
    <xf numFmtId="14" fontId="11" fillId="0" borderId="0" applyAlignment="1" pivotButton="0" quotePrefix="0" xfId="0">
      <alignment horizontal="left"/>
    </xf>
    <xf numFmtId="164" fontId="11" fillId="0" borderId="0" applyAlignment="1" pivotButton="0" quotePrefix="0" xfId="0">
      <alignment horizontal="left"/>
    </xf>
    <xf numFmtId="14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12" fillId="0" borderId="0" pivotButton="0" quotePrefix="0" xfId="0"/>
    <xf numFmtId="0" fontId="14" fillId="0" borderId="0" applyAlignment="1" pivotButton="0" quotePrefix="0" xfId="0">
      <alignment horizontal="right"/>
    </xf>
    <xf numFmtId="0" fontId="15" fillId="0" borderId="0" pivotButton="0" quotePrefix="0" xfId="0"/>
    <xf numFmtId="0" fontId="13" fillId="0" borderId="0" pivotButton="0" quotePrefix="0" xfId="0"/>
    <xf numFmtId="14" fontId="15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17" fillId="4" borderId="0" pivotButton="0" quotePrefix="0" xfId="0"/>
    <xf numFmtId="0" fontId="17" fillId="4" borderId="0" applyAlignment="1" pivotButton="0" quotePrefix="0" xfId="0">
      <alignment horizontal="center"/>
    </xf>
    <xf numFmtId="0" fontId="18" fillId="0" borderId="0" pivotButton="0" quotePrefix="0" xfId="0"/>
    <xf numFmtId="164" fontId="18" fillId="0" borderId="0" pivotButton="0" quotePrefix="0" xfId="0"/>
    <xf numFmtId="3" fontId="18" fillId="0" borderId="0" pivotButton="0" quotePrefix="0" xfId="0"/>
    <xf numFmtId="0" fontId="17" fillId="0" borderId="0" pivotButton="0" quotePrefix="0" xfId="0"/>
    <xf numFmtId="164" fontId="0" fillId="0" borderId="0" pivotButton="0" quotePrefix="0" xfId="0"/>
    <xf numFmtId="164" fontId="17" fillId="5" borderId="0" pivotButton="0" quotePrefix="0" xfId="0"/>
    <xf numFmtId="0" fontId="19" fillId="0" borderId="0" pivotButton="0" quotePrefix="0" xfId="0"/>
  </cellXfs>
  <cellStyles count="2">
    <cellStyle name="Normal" xfId="0" builtinId="0"/>
    <cellStyle name="Normal 2" xfId="1"/>
  </cellStyles>
  <dxfs count="16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9" formatCode="m/d/yyyy"/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PartTesting" displayName="TblPartTesting" ref="A1:J2" headerRowCount="1">
  <autoFilter ref="A1:J2"/>
  <tableColumns count="10">
    <tableColumn id="1" name="MSO"/>
    <tableColumn id="2" name="Request Date"/>
    <tableColumn id="3" name="Outbound Tracking"/>
    <tableColumn id="4" name="Part #"/>
    <tableColumn id="5" name="Type"/>
    <tableColumn id="6" name="Serial"/>
    <tableColumn id="7" name="Quantity"/>
    <tableColumn id="8" name="Individual Part Fee"/>
    <tableColumn id="9" name="Total Programming Fee"/>
    <tableColumn id="10" name="Part Pick Fe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UnitStorage" displayName="TblUnitStorage" ref="A1:C2" headerRowCount="1">
  <autoFilter ref="A1:C2"/>
  <tableColumns count="3">
    <tableColumn id="1" name="ActualModel"/>
    <tableColumn id="2" name="Actual Serial"/>
    <tableColumn id="3" name="Storag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UnitReceiving" displayName="TblUnitReceiving" ref="A1:C2" headerRowCount="1">
  <autoFilter ref="A1:C2"/>
  <tableColumns count="3">
    <tableColumn id="1" name="Actual Model"/>
    <tableColumn id="2" name="Actual Serial"/>
    <tableColumn id="3" name="Receipt Fee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UnitsShipped" displayName="TblUnitsShipped" ref="A1:G2" headerRowCount="1">
  <autoFilter ref="A1:G2"/>
  <tableColumns count="7">
    <tableColumn id="1" name="MSO"/>
    <tableColumn id="2" name="Pickup Date"/>
    <tableColumn id="3" name="Model"/>
    <tableColumn id="4" name="Serial"/>
    <tableColumn id="5" name="Tracking"/>
    <tableColumn id="6" name="Sales Order Number"/>
    <tableColumn id="7" name="Out Fee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SmallParts" displayName="TblSmallParts" ref="A1:D2" headerRowCount="1">
  <autoFilter ref="A1:D2"/>
  <tableColumns count="4">
    <tableColumn id="1" name="Checkin Date"/>
    <tableColumn id="2" name="ID"/>
    <tableColumn id="3" name="Part #"/>
    <tableColumn id="4" name="Pric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E33"/>
  <sheetViews>
    <sheetView tabSelected="1" topLeftCell="B1" zoomScale="115" zoomScaleNormal="115" workbookViewId="0">
      <selection activeCell="D18" sqref="D18"/>
    </sheetView>
  </sheetViews>
  <sheetFormatPr baseColWidth="8" defaultRowHeight="13.8"/>
  <cols>
    <col width="44.55" bestFit="1" customWidth="1" style="23" min="1" max="1"/>
    <col width="14.55" bestFit="1" customWidth="1" style="23" min="2" max="2"/>
    <col width="17.44" customWidth="1" style="23" min="3" max="3"/>
    <col width="16.44" customWidth="1" style="23" min="4" max="4"/>
    <col width="16" customWidth="1" style="23" min="5" max="5"/>
    <col width="8.88671875" customWidth="1" style="23" min="6" max="6"/>
    <col width="8.88671875" customWidth="1" style="23" min="7" max="16384"/>
  </cols>
  <sheetData>
    <row r="1">
      <c r="A1" s="24" t="inlineStr">
        <is>
          <t>9145 Ellis Road</t>
        </is>
      </c>
      <c r="D1" s="25" t="inlineStr">
        <is>
          <t>Call ID:</t>
        </is>
      </c>
      <c r="E1" s="26" t="inlineStr"/>
    </row>
    <row r="2">
      <c r="A2" s="24" t="inlineStr">
        <is>
          <t>Melbourne, FL 32904</t>
        </is>
      </c>
      <c r="D2" s="25" t="inlineStr">
        <is>
          <t>Currency:</t>
        </is>
      </c>
      <c r="E2" s="26" t="inlineStr">
        <is>
          <t>USD</t>
        </is>
      </c>
    </row>
    <row r="3">
      <c r="A3" s="27" t="inlineStr">
        <is>
          <t>www.ussiglobal.com</t>
        </is>
      </c>
      <c r="D3" s="25" t="inlineStr">
        <is>
          <t>Invoice Date:</t>
        </is>
      </c>
      <c r="E3" s="28" t="n">
        <v>36526</v>
      </c>
    </row>
    <row r="4">
      <c r="D4" s="25" t="inlineStr">
        <is>
          <t>Completed Date:</t>
        </is>
      </c>
      <c r="E4" s="28" t="n">
        <v>36526</v>
      </c>
    </row>
    <row r="5">
      <c r="D5" s="25" t="inlineStr">
        <is>
          <t>Customer:</t>
        </is>
      </c>
      <c r="E5" s="26" t="inlineStr"/>
    </row>
    <row r="6">
      <c r="D6" s="25" t="inlineStr">
        <is>
          <t>Terms:</t>
        </is>
      </c>
      <c r="E6" s="26" t="inlineStr">
        <is>
          <t>Net Amt Due in 45</t>
        </is>
      </c>
    </row>
    <row r="7" ht="20.4" customHeight="1"/>
    <row r="8" ht="21" customHeight="1">
      <c r="A8" s="29">
        <f>CONCATENATE("PROFORMA INVOICE: ",TEXT(E4,"MMMM YYYY"))</f>
        <v/>
      </c>
    </row>
    <row r="9" ht="15" customHeight="1">
      <c r="A9" s="30" t="inlineStr">
        <is>
          <t>Warehouse Storage</t>
        </is>
      </c>
      <c r="B9" s="31" t="inlineStr">
        <is>
          <t>Units of Measure</t>
        </is>
      </c>
      <c r="C9" s="31" t="inlineStr">
        <is>
          <t>Unit Price</t>
        </is>
      </c>
      <c r="D9" s="31" t="inlineStr">
        <is>
          <t>Quantity</t>
        </is>
      </c>
      <c r="E9" s="31" t="inlineStr">
        <is>
          <t>Total Amount</t>
        </is>
      </c>
    </row>
    <row r="10">
      <c r="A10" s="32" t="inlineStr">
        <is>
          <t>Unit Storage</t>
        </is>
      </c>
      <c r="B10" s="32" t="inlineStr">
        <is>
          <t>Each</t>
        </is>
      </c>
      <c r="C10" s="33" t="n">
        <v>8</v>
      </c>
      <c r="D10" s="34">
        <f>COUNTA('Unit Storage'!B:B)-1</f>
        <v/>
      </c>
      <c r="E10" s="33">
        <f>D10*C10</f>
        <v/>
      </c>
    </row>
    <row r="11">
      <c r="A11" s="32" t="inlineStr">
        <is>
          <t>Pallet Storage</t>
        </is>
      </c>
      <c r="B11" s="32" t="inlineStr">
        <is>
          <t>Pallet</t>
        </is>
      </c>
      <c r="C11" s="33" t="n">
        <v>23.5</v>
      </c>
      <c r="D11" s="34" t="n">
        <v>0</v>
      </c>
      <c r="E11" s="33">
        <f>D11*C11</f>
        <v/>
      </c>
    </row>
    <row r="13" ht="15" customHeight="1">
      <c r="A13" s="30" t="inlineStr">
        <is>
          <t>Warehouse Ins &amp; Outs</t>
        </is>
      </c>
      <c r="B13" s="31" t="inlineStr">
        <is>
          <t>Units of Measure</t>
        </is>
      </c>
      <c r="C13" s="31" t="inlineStr">
        <is>
          <t>Unit Price</t>
        </is>
      </c>
      <c r="D13" s="31" t="inlineStr">
        <is>
          <t>Quantity</t>
        </is>
      </c>
      <c r="E13" s="31" t="inlineStr">
        <is>
          <t>Total Amount</t>
        </is>
      </c>
    </row>
    <row r="14">
      <c r="A14" s="32" t="inlineStr">
        <is>
          <t>Unit Receipt &amp; Processing</t>
        </is>
      </c>
      <c r="B14" s="32" t="inlineStr">
        <is>
          <t>Each</t>
        </is>
      </c>
      <c r="C14" s="33" t="n">
        <v>15</v>
      </c>
      <c r="D14" s="34">
        <f>COUNTA('Unit Receiving'!B:B)-1</f>
        <v/>
      </c>
      <c r="E14" s="33">
        <f>D14*C14</f>
        <v/>
      </c>
    </row>
    <row r="15">
      <c r="A15" s="32" t="inlineStr">
        <is>
          <t>Small Parts Check In</t>
        </is>
      </c>
      <c r="B15" s="32" t="inlineStr">
        <is>
          <t>Tiered</t>
        </is>
      </c>
      <c r="D15" s="34">
        <f>COUNTA('Small Parts Check In'!B:B)-1</f>
        <v/>
      </c>
      <c r="E15" s="33">
        <f>SUMIF('Small Parts Check In'!D:D,"&gt;0",'Small Parts Check In'!D:D)</f>
        <v/>
      </c>
    </row>
    <row r="16">
      <c r="A16" s="32" t="inlineStr">
        <is>
          <t>Unit Picks</t>
        </is>
      </c>
      <c r="B16" s="32" t="inlineStr">
        <is>
          <t>Each</t>
        </is>
      </c>
      <c r="C16" s="33" t="n">
        <v>8</v>
      </c>
      <c r="D16" s="34">
        <f>COUNTA('Units Shipped'!B:B)-1</f>
        <v/>
      </c>
      <c r="E16" s="33">
        <f>D16*C16</f>
        <v/>
      </c>
    </row>
    <row r="17">
      <c r="A17" s="32" t="inlineStr">
        <is>
          <t>Small Part Picks</t>
        </is>
      </c>
      <c r="B17" s="32" t="inlineStr">
        <is>
          <t>Each</t>
        </is>
      </c>
      <c r="C17" s="33" t="n">
        <v>8</v>
      </c>
      <c r="D17" s="34">
        <f>SUM('Part Testing &amp; Programming'!G:G)</f>
        <v/>
      </c>
      <c r="E17" s="33">
        <f>D17*C17</f>
        <v/>
      </c>
    </row>
    <row r="19" ht="14.4" customHeight="1"/>
    <row r="20" ht="14.4" customHeight="1"/>
    <row r="31">
      <c r="D31" s="35" t="inlineStr">
        <is>
          <t>Subtotal</t>
        </is>
      </c>
      <c r="E31" s="36">
        <f>SUM(E8:E30)</f>
        <v/>
      </c>
    </row>
    <row r="32">
      <c r="D32" s="35" t="inlineStr">
        <is>
          <t>Tax</t>
        </is>
      </c>
      <c r="E32" s="36">
        <f>E31*7%</f>
        <v/>
      </c>
    </row>
    <row r="33">
      <c r="D33" s="35" t="inlineStr">
        <is>
          <t>Total</t>
        </is>
      </c>
      <c r="E33" s="37">
        <f>SUM(E31:E32)</f>
        <v/>
      </c>
    </row>
  </sheetData>
  <mergeCells count="1">
    <mergeCell ref="A8:E8"/>
  </mergeCells>
  <pageMargins left="0.7" right="0.7" top="0.75" bottom="0.75" header="0.3" footer="0.3"/>
  <pageSetup orientation="portrait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J22" sqref="J22"/>
    </sheetView>
  </sheetViews>
  <sheetFormatPr baseColWidth="8" defaultRowHeight="14.4"/>
  <cols>
    <col width="14" customWidth="1" min="1" max="1"/>
    <col width="13" customWidth="1" min="2" max="2"/>
    <col width="18" customWidth="1" min="3" max="3"/>
    <col width="30" customWidth="1" min="4" max="4"/>
    <col width="28" customWidth="1" min="5" max="5"/>
    <col width="16" customWidth="1" min="6" max="6"/>
    <col width="10" customWidth="1" min="7" max="7"/>
    <col width="20" customWidth="1" style="36" min="8" max="8"/>
    <col width="22" customWidth="1" style="36" min="9" max="9"/>
    <col width="14" customWidth="1" style="36" min="10" max="10"/>
  </cols>
  <sheetData>
    <row r="1">
      <c r="A1" s="38" t="inlineStr">
        <is>
          <t>MSO</t>
        </is>
      </c>
      <c r="B1" s="38" t="inlineStr">
        <is>
          <t>Request Date</t>
        </is>
      </c>
      <c r="C1" s="38" t="inlineStr">
        <is>
          <t>Outbound Tracking</t>
        </is>
      </c>
      <c r="D1" s="38" t="inlineStr">
        <is>
          <t>Part #</t>
        </is>
      </c>
      <c r="E1" s="38" t="inlineStr">
        <is>
          <t>Type</t>
        </is>
      </c>
      <c r="F1" s="38" t="inlineStr">
        <is>
          <t>Serial</t>
        </is>
      </c>
      <c r="G1" s="38" t="inlineStr">
        <is>
          <t>Quantity</t>
        </is>
      </c>
      <c r="H1" s="38" t="inlineStr">
        <is>
          <t>Individual Part Fee</t>
        </is>
      </c>
      <c r="I1" s="38" t="inlineStr">
        <is>
          <t>Total Programming Fee</t>
        </is>
      </c>
      <c r="J1" s="38" t="inlineStr">
        <is>
          <t>Part Pick Fee</t>
        </is>
      </c>
    </row>
  </sheetData>
  <pageMargins left="0.7" right="0.7" top="0.75" bottom="0.75" header="0.3" footer="0.3"/>
  <pageSetup orientation="portrait" paperSize="0" horizontalDpi="203" verticalDpi="20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C10" sqref="C10"/>
    </sheetView>
  </sheetViews>
  <sheetFormatPr baseColWidth="8" defaultRowHeight="14.4"/>
  <cols>
    <col width="26" customWidth="1" min="1" max="1"/>
    <col width="30" bestFit="1" customWidth="1" min="2" max="2"/>
    <col width="12" customWidth="1" min="3" max="3"/>
  </cols>
  <sheetData>
    <row r="1">
      <c r="A1" s="38" t="inlineStr">
        <is>
          <t>ActualModel</t>
        </is>
      </c>
      <c r="B1" s="38" t="inlineStr">
        <is>
          <t>Actual Serial</t>
        </is>
      </c>
      <c r="C1" s="38" t="inlineStr">
        <is>
          <t>Storage</t>
        </is>
      </c>
    </row>
    <row r="20" ht="13.8" customHeight="1"/>
    <row r="1899" ht="15" customHeight="1"/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C1"/>
  <sheetViews>
    <sheetView workbookViewId="0">
      <selection activeCell="B36" sqref="A2:C283"/>
    </sheetView>
  </sheetViews>
  <sheetFormatPr baseColWidth="8" defaultRowHeight="14.4"/>
  <cols>
    <col width="26" customWidth="1" min="1" max="1"/>
    <col width="30" customWidth="1" min="2" max="2"/>
    <col width="14" customWidth="1" min="3" max="3"/>
    <col width="17.109375" customWidth="1" min="7" max="7"/>
    <col width="12.33203125" customWidth="1" min="8" max="8"/>
  </cols>
  <sheetData>
    <row r="1">
      <c r="A1" s="38" t="inlineStr">
        <is>
          <t>Actual Model</t>
        </is>
      </c>
      <c r="B1" s="38" t="inlineStr">
        <is>
          <t>Actual Serial</t>
        </is>
      </c>
      <c r="C1" s="38" t="inlineStr">
        <is>
          <t>Receipt Fee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"/>
  <sheetViews>
    <sheetView workbookViewId="0">
      <selection activeCell="C26" sqref="A2:G270"/>
    </sheetView>
  </sheetViews>
  <sheetFormatPr baseColWidth="8" defaultRowHeight="14.4"/>
  <cols>
    <col width="14" customWidth="1" min="1" max="1"/>
    <col width="12" customWidth="1" min="2" max="2"/>
    <col width="26" customWidth="1" min="3" max="3"/>
    <col width="30" customWidth="1" min="4" max="4"/>
    <col width="14" customWidth="1" style="2" min="5" max="5"/>
    <col width="18" customWidth="1" min="6" max="6"/>
    <col width="12" customWidth="1" min="7" max="7"/>
  </cols>
  <sheetData>
    <row r="1">
      <c r="A1" s="38" t="inlineStr">
        <is>
          <t>MSO</t>
        </is>
      </c>
      <c r="B1" s="38" t="inlineStr">
        <is>
          <t>Pickup Date</t>
        </is>
      </c>
      <c r="C1" s="38" t="inlineStr">
        <is>
          <t>Model</t>
        </is>
      </c>
      <c r="D1" s="38" t="inlineStr">
        <is>
          <t>Serial</t>
        </is>
      </c>
      <c r="E1" s="38" t="inlineStr">
        <is>
          <t>Tracking</t>
        </is>
      </c>
      <c r="F1" s="38" t="inlineStr">
        <is>
          <t>Sales Order Number</t>
        </is>
      </c>
      <c r="G1" s="38" t="inlineStr">
        <is>
          <t>Out Fee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D1"/>
  <sheetViews>
    <sheetView workbookViewId="0">
      <selection activeCell="C57" sqref="C57"/>
    </sheetView>
  </sheetViews>
  <sheetFormatPr baseColWidth="8" defaultRowHeight="14.4"/>
  <cols>
    <col width="14" customWidth="1" min="1" max="1"/>
    <col width="20" customWidth="1" min="2" max="2"/>
    <col width="30" customWidth="1" min="3" max="3"/>
    <col width="12" customWidth="1" min="4" max="4"/>
  </cols>
  <sheetData>
    <row r="1">
      <c r="A1" s="38" t="inlineStr">
        <is>
          <t>Checkin Date</t>
        </is>
      </c>
      <c r="B1" s="38" t="inlineStr">
        <is>
          <t>ID</t>
        </is>
      </c>
      <c r="C1" s="38" t="inlineStr">
        <is>
          <t>Part #</t>
        </is>
      </c>
      <c r="D1" s="38" t="inlineStr">
        <is>
          <t>Price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unmatched items this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Shaw</dc:creator>
  <dcterms:created xmlns:dcterms="http://purl.org/dc/terms/" xmlns:xsi="http://www.w3.org/2001/XMLSchema-instance" xsi:type="dcterms:W3CDTF">2025-03-11T16:01:35Z</dcterms:created>
  <dcterms:modified xmlns:dcterms="http://purl.org/dc/terms/" xmlns:xsi="http://www.w3.org/2001/XMLSchema-instance" xsi:type="dcterms:W3CDTF">2026-09-14T16:32:07Z</dcterms:modified>
  <cp:lastModifiedBy>Matt Shaw</cp:lastModifiedBy>
  <cp:lastPrinted>2026-02-06T12:52:29Z</cp:lastPrinted>
</cp:coreProperties>
</file>