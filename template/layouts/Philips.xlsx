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down" sheetId="1" state="visible" r:id="rId1"/>
    <sheet xmlns:r="http://schemas.openxmlformats.org/officeDocument/2006/relationships" name="Receieved" sheetId="2" state="visible" r:id="rId2"/>
    <sheet xmlns:r="http://schemas.openxmlformats.org/officeDocument/2006/relationships" name="Shipping" sheetId="3" state="visible" r:id="rId3"/>
    <sheet xmlns:r="http://schemas.openxmlformats.org/officeDocument/2006/relationships" name="Repairs" sheetId="4" state="visible" r:id="rId4"/>
    <sheet xmlns:r="http://schemas.openxmlformats.org/officeDocument/2006/relationships" name="Excluded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6">
    <font>
      <name val="Calibri"/>
      <family val="2"/>
      <color theme="1"/>
      <sz val="11"/>
      <scheme val="minor"/>
    </font>
    <font>
      <name val="Calibri"/>
      <sz val="8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theme="0" tint="-0.25"/>
      </patternFill>
    </fill>
    <fill>
      <patternFill patternType="solid">
        <fgColor theme="4" tint="0.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3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4.55" customWidth="1" min="1" max="1"/>
    <col width="2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9145 Ellis Road</t>
        </is>
      </c>
    </row>
    <row r="2">
      <c r="A2" s="1" t="inlineStr">
        <is>
          <t>Melbourne, FL 32904</t>
        </is>
      </c>
    </row>
    <row r="3">
      <c r="A3" s="1" t="inlineStr">
        <is>
          <t>www.ussiglobal.com</t>
        </is>
      </c>
    </row>
    <row r="5">
      <c r="A5" s="2" t="inlineStr"/>
    </row>
    <row r="7">
      <c r="A7" s="3" t="inlineStr">
        <is>
          <t>Warehouse: Demo</t>
        </is>
      </c>
      <c r="B7" s="4" t="inlineStr">
        <is>
          <t>Units of Measure</t>
        </is>
      </c>
      <c r="C7" s="4" t="inlineStr">
        <is>
          <t>Unit Price</t>
        </is>
      </c>
      <c r="D7" s="4" t="inlineStr">
        <is>
          <t>Quantity</t>
        </is>
      </c>
      <c r="E7" s="4" t="inlineStr">
        <is>
          <t>Total Amount</t>
        </is>
      </c>
    </row>
    <row r="8">
      <c r="A8" s="5" t="inlineStr">
        <is>
          <t>Warehouse Cost, First 500 sq. ft.</t>
        </is>
      </c>
      <c r="B8" s="5" t="inlineStr">
        <is>
          <t>Each</t>
        </is>
      </c>
      <c r="C8" s="6" t="n">
        <v>1910</v>
      </c>
      <c r="D8" s="7" t="n">
        <v>1</v>
      </c>
      <c r="E8" s="6">
        <f>D8*C8</f>
        <v/>
      </c>
    </row>
    <row r="9">
      <c r="A9" s="5" t="inlineStr">
        <is>
          <t>Additional Square Footage, in 50 sq ft. increments</t>
        </is>
      </c>
      <c r="B9" s="5" t="inlineStr">
        <is>
          <t>Each</t>
        </is>
      </c>
      <c r="C9" s="6" t="n">
        <v>3.5</v>
      </c>
      <c r="D9" s="7" t="n">
        <v>0</v>
      </c>
      <c r="E9" s="6">
        <f>D9*C9</f>
        <v/>
      </c>
    </row>
    <row r="11">
      <c r="A11" s="3" t="inlineStr">
        <is>
          <t>Warehouse: Service</t>
        </is>
      </c>
      <c r="B11" s="4" t="inlineStr">
        <is>
          <t>Units of Measure</t>
        </is>
      </c>
      <c r="C11" s="4" t="inlineStr">
        <is>
          <t>Unit Price</t>
        </is>
      </c>
      <c r="D11" s="4" t="inlineStr">
        <is>
          <t>Quantity</t>
        </is>
      </c>
      <c r="E11" s="4" t="inlineStr">
        <is>
          <t>Total Amount</t>
        </is>
      </c>
    </row>
    <row r="12">
      <c r="A12" s="5" t="inlineStr">
        <is>
          <t>Additional Square Footage, in 50 sq ft. increments</t>
        </is>
      </c>
      <c r="B12" s="5" t="inlineStr">
        <is>
          <t>Each</t>
        </is>
      </c>
      <c r="C12" s="6" t="n">
        <v>3.5</v>
      </c>
      <c r="D12" s="7" t="n">
        <v>0</v>
      </c>
      <c r="E12" s="6">
        <f>D12*C12</f>
        <v/>
      </c>
    </row>
    <row r="14">
      <c r="A14" s="3" t="inlineStr">
        <is>
          <t>Warehouse: Handling</t>
        </is>
      </c>
      <c r="B14" s="4" t="inlineStr">
        <is>
          <t>Units of Measure</t>
        </is>
      </c>
      <c r="C14" s="4" t="inlineStr">
        <is>
          <t>Unit Price</t>
        </is>
      </c>
      <c r="D14" s="4" t="inlineStr">
        <is>
          <t>Quantity</t>
        </is>
      </c>
      <c r="E14" s="4" t="inlineStr">
        <is>
          <t>Total Amount</t>
        </is>
      </c>
    </row>
    <row r="15">
      <c r="A15" s="5" t="inlineStr">
        <is>
          <t>Inbound Handling</t>
        </is>
      </c>
      <c r="B15" s="5" t="inlineStr">
        <is>
          <t>Each</t>
        </is>
      </c>
      <c r="C15" s="6" t="n">
        <v>6</v>
      </c>
      <c r="D15" s="7">
        <f>COUNTA(Receieved!A2:A100000)</f>
        <v/>
      </c>
      <c r="E15" s="6">
        <f>D15*C15</f>
        <v/>
      </c>
    </row>
    <row r="16">
      <c r="A16" s="5" t="inlineStr">
        <is>
          <t>Outbound Handling</t>
        </is>
      </c>
      <c r="B16" s="5" t="inlineStr">
        <is>
          <t>Each</t>
        </is>
      </c>
      <c r="C16" s="6" t="n">
        <v>6</v>
      </c>
      <c r="D16" s="7">
        <f>COUNTA(Shipping!G2:G100000)</f>
        <v/>
      </c>
      <c r="E16" s="6">
        <f>D16*C16</f>
        <v/>
      </c>
    </row>
    <row r="18">
      <c r="A18" s="3" t="inlineStr">
        <is>
          <t>Warehouse: Parts</t>
        </is>
      </c>
      <c r="B18" s="4" t="inlineStr">
        <is>
          <t>Units of Measure</t>
        </is>
      </c>
      <c r="C18" s="4" t="inlineStr">
        <is>
          <t>Unit Price</t>
        </is>
      </c>
      <c r="D18" s="4" t="inlineStr">
        <is>
          <t>Quantity</t>
        </is>
      </c>
      <c r="E18" s="4" t="inlineStr">
        <is>
          <t>Total Amount</t>
        </is>
      </c>
    </row>
    <row r="19">
      <c r="A19" s="5" t="inlineStr">
        <is>
          <t>Additional Square Footage, in 50 sq ft. increments (manual entry)</t>
        </is>
      </c>
      <c r="B19" s="5" t="inlineStr">
        <is>
          <t>Each</t>
        </is>
      </c>
      <c r="C19" s="6" t="n">
        <v>3.5</v>
      </c>
      <c r="D19" s="7" t="n">
        <v>0</v>
      </c>
      <c r="E19" s="6">
        <f>D19*C19</f>
        <v/>
      </c>
    </row>
    <row r="21">
      <c r="A21" s="3" t="inlineStr">
        <is>
          <t>Warehouse: Repairs</t>
        </is>
      </c>
      <c r="B21" s="4" t="inlineStr">
        <is>
          <t>Units of Measure</t>
        </is>
      </c>
      <c r="C21" s="4" t="inlineStr">
        <is>
          <t>Unit Price</t>
        </is>
      </c>
      <c r="D21" s="4" t="inlineStr">
        <is>
          <t>Quantity</t>
        </is>
      </c>
      <c r="E21" s="4" t="inlineStr">
        <is>
          <t>Total Amount</t>
        </is>
      </c>
    </row>
    <row r="22">
      <c r="A22" s="5" t="inlineStr">
        <is>
          <t>Repair</t>
        </is>
      </c>
      <c r="B22" s="5" t="inlineStr">
        <is>
          <t>Unit Size/Each</t>
        </is>
      </c>
      <c r="D22" s="7">
        <f>COUNTIFS(Repairs!F:F,"Repaired")</f>
        <v/>
      </c>
      <c r="E22" s="6">
        <f>SUMIFS(Repairs!J:J,Repairs!F:F,"Repaired")</f>
        <v/>
      </c>
    </row>
    <row r="23">
      <c r="A23" s="5" t="inlineStr">
        <is>
          <t>Harvest</t>
        </is>
      </c>
      <c r="B23" s="5" t="inlineStr">
        <is>
          <t>Each</t>
        </is>
      </c>
      <c r="D23" s="7">
        <f>COUNTIFS(Repairs!F:F,"Harvested")</f>
        <v/>
      </c>
      <c r="E23" s="6">
        <f>SUMIFS(Repairs!J:J,Repairs!F:F,"Harvested")</f>
        <v/>
      </c>
    </row>
    <row r="25">
      <c r="D25" s="8" t="inlineStr">
        <is>
          <t>Subtotal</t>
        </is>
      </c>
      <c r="E25" s="9">
        <f>SUM(E8:E24)</f>
        <v/>
      </c>
    </row>
    <row r="26">
      <c r="D26" s="8" t="inlineStr">
        <is>
          <t>Tax</t>
        </is>
      </c>
      <c r="E26" s="9">
        <f>E25*7%</f>
        <v/>
      </c>
    </row>
    <row r="27">
      <c r="D27" s="8" t="inlineStr">
        <is>
          <t>Total</t>
        </is>
      </c>
      <c r="E27" s="10">
        <f>SUM(E25:E26)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2" customWidth="1" min="4" max="4"/>
    <col width="12" customWidth="1" min="5" max="5"/>
    <col width="18" customWidth="1" min="6" max="6"/>
    <col width="10" customWidth="1" min="7" max="7"/>
  </cols>
  <sheetData>
    <row r="1">
      <c r="A1" s="11" t="inlineStr">
        <is>
          <t>Model</t>
        </is>
      </c>
      <c r="B1" s="11" t="inlineStr">
        <is>
          <t>Serial</t>
        </is>
      </c>
      <c r="C1" s="11" t="inlineStr">
        <is>
          <t>Column1</t>
        </is>
      </c>
      <c r="D1" s="11" t="inlineStr">
        <is>
          <t>Warehouse</t>
        </is>
      </c>
      <c r="E1" s="11" t="inlineStr">
        <is>
          <t>Date</t>
        </is>
      </c>
      <c r="F1" s="11" t="inlineStr">
        <is>
          <t>RMA</t>
        </is>
      </c>
      <c r="G1" s="11" t="inlineStr">
        <is>
          <t>Price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2" customWidth="1" min="4" max="4"/>
    <col width="16" customWidth="1" min="5" max="5"/>
    <col width="10" customWidth="1" min="6" max="6"/>
    <col width="20" customWidth="1" min="7" max="7"/>
    <col width="10" customWidth="1" min="8" max="8"/>
  </cols>
  <sheetData>
    <row r="1">
      <c r="A1" s="11" t="inlineStr">
        <is>
          <t>Date</t>
        </is>
      </c>
      <c r="B1" s="11" t="inlineStr">
        <is>
          <t>Type</t>
        </is>
      </c>
      <c r="C1" s="11" t="inlineStr">
        <is>
          <t>Departure RMA</t>
        </is>
      </c>
      <c r="D1" s="11" t="inlineStr">
        <is>
          <t>Ship to Name</t>
        </is>
      </c>
      <c r="E1" s="11" t="inlineStr">
        <is>
          <t>Tracking</t>
        </is>
      </c>
      <c r="F1" s="11" t="inlineStr">
        <is>
          <t>Carrier</t>
        </is>
      </c>
      <c r="G1" s="11" t="inlineStr">
        <is>
          <t>Model</t>
        </is>
      </c>
      <c r="H1" s="11" t="inlineStr">
        <is>
          <t>Price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16" customWidth="1" min="5" max="5"/>
    <col width="14" customWidth="1" min="6" max="6"/>
    <col width="10" customWidth="1" min="7" max="7"/>
    <col width="24" customWidth="1" min="8" max="8"/>
    <col width="16" customWidth="1" min="9" max="9"/>
    <col width="10" customWidth="1" min="10" max="10"/>
  </cols>
  <sheetData>
    <row r="1">
      <c r="A1" s="11" t="inlineStr">
        <is>
          <t>Repair Date</t>
        </is>
      </c>
      <c r="B1" s="11" t="inlineStr">
        <is>
          <t>Receive Date</t>
        </is>
      </c>
      <c r="C1" s="11" t="inlineStr">
        <is>
          <t>Model</t>
        </is>
      </c>
      <c r="D1" s="11" t="inlineStr">
        <is>
          <t>Serial</t>
        </is>
      </c>
      <c r="E1" s="11" t="inlineStr">
        <is>
          <t>RMA</t>
        </is>
      </c>
      <c r="F1" s="11" t="inlineStr">
        <is>
          <t>Repaired/Harvested</t>
        </is>
      </c>
      <c r="G1" s="11" t="inlineStr">
        <is>
          <t>Repaired Y/N</t>
        </is>
      </c>
      <c r="H1" s="11" t="inlineStr">
        <is>
          <t>Diagnostics</t>
        </is>
      </c>
      <c r="I1" s="11" t="inlineStr">
        <is>
          <t>Parts Used</t>
        </is>
      </c>
      <c r="J1" s="11" t="inlineStr">
        <is>
          <t>Price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20" customWidth="1" min="4" max="4"/>
    <col width="12" customWidth="1" min="5" max="5"/>
    <col width="20" customWidth="1" min="6" max="6"/>
  </cols>
  <sheetData>
    <row r="1">
      <c r="A1" s="11" t="inlineStr">
        <is>
          <t>Source Tab</t>
        </is>
      </c>
      <c r="B1" s="11" t="inlineStr">
        <is>
          <t>Reason</t>
        </is>
      </c>
      <c r="C1" s="11" t="inlineStr">
        <is>
          <t>Model</t>
        </is>
      </c>
      <c r="D1" s="11" t="inlineStr">
        <is>
          <t>Serial</t>
        </is>
      </c>
      <c r="E1" s="11" t="inlineStr">
        <is>
          <t>Type</t>
        </is>
      </c>
      <c r="F1" s="11" t="inlineStr">
        <is>
          <t>Detail</t>
        </is>
      </c>
    </row>
    <row r="2">
      <c r="A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2026-09-14T16:32:06Z</dcterms:created>
  <dcterms:modified xmlns:dcterms="http://purl.org/dc/terms/" xmlns:xsi="http://www.w3.org/2001/XMLSchema-instance" xsi:type="dcterms:W3CDTF">2026-09-14T16:32:07Z</dcterms:modified>
</cp:coreProperties>
</file>