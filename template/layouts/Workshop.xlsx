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0" windowWidth="17472" windowHeight="20976" tabRatio="600" firstSheet="1" activeTab="3" autoFilterDateGrouping="1"/>
  </bookViews>
  <sheets>
    <sheet xmlns:r="http://schemas.openxmlformats.org/officeDocument/2006/relationships" name="Breakdown" sheetId="1" state="visible" r:id="rId1"/>
    <sheet xmlns:r="http://schemas.openxmlformats.org/officeDocument/2006/relationships" name="Depot Repair" sheetId="2" state="visible" r:id="rId2"/>
    <sheet xmlns:r="http://schemas.openxmlformats.org/officeDocument/2006/relationships" name="Triage Units" sheetId="3" state="visible" r:id="rId3"/>
    <sheet xmlns:r="http://schemas.openxmlformats.org/officeDocument/2006/relationships" name="Part Testing &amp; Programming" sheetId="4" state="visible" r:id="rId4"/>
    <sheet xmlns:r="http://schemas.openxmlformats.org/officeDocument/2006/relationships" name="Excluded Serials" sheetId="5" state="visible" r:id="rId5"/>
  </sheets>
  <definedNames>
    <definedName name="_xlnm.Print_Area" localSheetId="0">'Breakdown'!$A$1:$E$32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2">
    <font>
      <name val="Aptos Narrow"/>
      <family val="2"/>
      <color theme="1"/>
      <sz val="11"/>
      <scheme val="minor"/>
    </font>
    <font>
      <name val="Arial"/>
      <family val="2"/>
      <sz val="10"/>
    </font>
    <font>
      <name val="Aptos Display"/>
      <family val="2"/>
      <color theme="1"/>
      <sz val="10"/>
      <scheme val="major"/>
    </font>
    <font>
      <name val="Calibri"/>
      <family val="2"/>
      <color theme="1"/>
      <sz val="8"/>
    </font>
    <font>
      <name val="Calibri"/>
      <family val="2"/>
      <color theme="10"/>
      <sz val="8"/>
      <u val="single"/>
    </font>
    <font>
      <name val="Calibri"/>
      <family val="2"/>
      <b val="1"/>
      <color theme="1"/>
      <sz val="9"/>
    </font>
    <font>
      <name val="Calibri"/>
      <family val="2"/>
      <color theme="1"/>
      <sz val="9"/>
    </font>
    <font>
      <name val="Calibri"/>
      <family val="2"/>
      <b val="1"/>
      <color theme="1"/>
      <sz val="16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Calibri"/>
      <family val="2"/>
      <color theme="1"/>
      <sz val="11"/>
    </font>
    <font>
      <name val="Calibri"/>
      <family val="2"/>
      <b val="1"/>
      <sz val="11"/>
    </font>
    <font>
      <name val="Calibri"/>
      <color theme="1"/>
      <sz val="8"/>
    </font>
    <font>
      <name val="Calibri"/>
      <color theme="10"/>
      <sz val="8"/>
      <u val="single"/>
    </font>
    <font>
      <name val="Calibri"/>
      <b val="1"/>
      <color theme="1"/>
      <sz val="9"/>
    </font>
    <font>
      <name val="Calibri"/>
      <color theme="1"/>
      <sz val="9"/>
    </font>
    <font>
      <name val="Calibri"/>
      <b val="1"/>
      <color theme="1"/>
      <sz val="16"/>
    </font>
    <font>
      <name val="Calibri"/>
      <b val="1"/>
      <color theme="1"/>
      <sz val="10"/>
    </font>
    <font>
      <name val="Calibri"/>
      <color theme="1"/>
      <sz val="10"/>
    </font>
    <font>
      <name val="Calibri"/>
      <color theme="1"/>
      <sz val="11"/>
    </font>
    <font>
      <name val="Calibri"/>
      <b val="1"/>
      <sz val="11"/>
    </font>
    <font>
      <name val="Calibri"/>
      <b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0" tint="-0.249977111117893"/>
        <bgColor indexed="65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0" tint="-0.249977111117893"/>
      </patternFill>
    </fill>
    <fill>
      <patternFill patternType="solid">
        <fgColor theme="4" tint="0.799981688894314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8" fillId="2" borderId="0" pivotButton="0" quotePrefix="0" xfId="0"/>
    <xf numFmtId="0" fontId="8" fillId="2" borderId="0" applyAlignment="1" pivotButton="0" quotePrefix="0" xfId="0">
      <alignment horizontal="center"/>
    </xf>
    <xf numFmtId="0" fontId="9" fillId="0" borderId="0" pivotButton="0" quotePrefix="0" xfId="0"/>
    <xf numFmtId="164" fontId="9" fillId="0" borderId="0" pivotButton="0" quotePrefix="0" xfId="0"/>
    <xf numFmtId="3" fontId="9" fillId="0" borderId="0" pivotButton="0" quotePrefix="0" xfId="0"/>
    <xf numFmtId="0" fontId="8" fillId="0" borderId="0" pivotButton="0" quotePrefix="0" xfId="0"/>
    <xf numFmtId="164" fontId="8" fillId="3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left"/>
    </xf>
    <xf numFmtId="164" fontId="10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14" fontId="6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1" fontId="10" fillId="0" borderId="0" applyAlignment="1" pivotButton="0" quotePrefix="0" xfId="0">
      <alignment horizontal="left"/>
    </xf>
    <xf numFmtId="14" fontId="10" fillId="0" borderId="0" applyAlignment="1" pivotButton="0" quotePrefix="0" xfId="0">
      <alignment horizontal="left"/>
    </xf>
    <xf numFmtId="0" fontId="11" fillId="0" borderId="0" pivotButton="0" quotePrefix="0" xfId="0"/>
    <xf numFmtId="1" fontId="11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12" fillId="0" borderId="0" pivotButton="0" quotePrefix="0" xfId="0"/>
    <xf numFmtId="0" fontId="14" fillId="0" borderId="0" applyAlignment="1" pivotButton="0" quotePrefix="0" xfId="0">
      <alignment horizontal="right"/>
    </xf>
    <xf numFmtId="0" fontId="15" fillId="0" borderId="0" pivotButton="0" quotePrefix="0" xfId="0"/>
    <xf numFmtId="0" fontId="13" fillId="0" borderId="0" pivotButton="0" quotePrefix="0" xfId="0"/>
    <xf numFmtId="14" fontId="15" fillId="0" borderId="0" pivotButton="0" quotePrefix="0" xfId="0"/>
    <xf numFmtId="0" fontId="16" fillId="0" borderId="0" applyAlignment="1" pivotButton="0" quotePrefix="0" xfId="0">
      <alignment horizontal="center" vertical="center"/>
    </xf>
    <xf numFmtId="0" fontId="17" fillId="4" borderId="0" pivotButton="0" quotePrefix="0" xfId="0"/>
    <xf numFmtId="0" fontId="17" fillId="4" borderId="0" applyAlignment="1" pivotButton="0" quotePrefix="0" xfId="0">
      <alignment horizontal="center"/>
    </xf>
    <xf numFmtId="0" fontId="18" fillId="0" borderId="0" pivotButton="0" quotePrefix="0" xfId="0"/>
    <xf numFmtId="164" fontId="18" fillId="0" borderId="0" pivotButton="0" quotePrefix="0" xfId="0"/>
    <xf numFmtId="3" fontId="18" fillId="0" borderId="0" pivotButton="0" quotePrefix="0" xfId="0"/>
    <xf numFmtId="0" fontId="17" fillId="0" borderId="0" pivotButton="0" quotePrefix="0" xfId="0"/>
    <xf numFmtId="164" fontId="17" fillId="5" borderId="0" pivotButton="0" quotePrefix="0" xfId="0"/>
    <xf numFmtId="0" fontId="19" fillId="0" borderId="0" pivotButton="0" quotePrefix="0" xfId="0"/>
    <xf numFmtId="0" fontId="19" fillId="0" borderId="0" applyAlignment="1" pivotButton="0" quotePrefix="0" xfId="0">
      <alignment horizontal="left"/>
    </xf>
    <xf numFmtId="164" fontId="19" fillId="0" borderId="0" applyAlignment="1" pivotButton="0" quotePrefix="0" xfId="0">
      <alignment horizontal="left"/>
    </xf>
    <xf numFmtId="0" fontId="20" fillId="0" borderId="0" pivotButton="0" quotePrefix="0" xfId="0"/>
    <xf numFmtId="0" fontId="21" fillId="0" borderId="0" pivotButton="0" quotePrefix="0" xfId="0"/>
  </cellXfs>
  <cellStyles count="2">
    <cellStyle name="Normal" xfId="0" builtinId="0"/>
    <cellStyle name="Normal 2" xfId="1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numFmt numFmtId="1" formatCode="0"/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numFmt numFmtId="34" formatCode="_(&quot;$&quot;* #,##0.00_);_(&quot;$&quot;* \(#,##0.00\);_(&quot;$&quot;* &quot;-&quot;??_);_(@_)"/>
      <fill>
        <patternFill>
          <bgColor auto="1"/>
        </patternFill>
      </fill>
      <alignment horizontal="left" vertical="bottom"/>
    </dxf>
    <dxf>
      <numFmt numFmtId="0" formatCode="General"/>
      <fill>
        <patternFill>
          <bgColor auto="1"/>
        </patternFill>
      </fill>
      <alignment horizontal="left" vertical="bottom"/>
    </dxf>
    <dxf>
      <numFmt numFmtId="0" formatCode="General"/>
      <fill>
        <patternFill>
          <bgColor auto="1"/>
        </patternFill>
      </fill>
      <alignment horizontal="left" vertical="bottom"/>
    </dxf>
    <dxf>
      <numFmt numFmtId="0" formatCode="General"/>
      <fill>
        <patternFill>
          <bgColor auto="1"/>
        </patternFill>
      </fill>
      <alignment horizontal="left" vertical="bottom"/>
    </dxf>
    <dxf>
      <fill>
        <patternFill>
          <bgColor auto="1"/>
        </patternFill>
      </fill>
      <alignment horizontal="left" vertical="bottom"/>
    </dxf>
    <dxf>
      <fill>
        <patternFill>
          <bgColor auto="1"/>
        </patternFill>
      </fill>
      <alignment horizontal="left" vertical="bottom"/>
    </dxf>
    <dxf>
      <fill>
        <patternFill>
          <bgColor auto="1"/>
        </patternFill>
      </fill>
      <alignment horizontal="left" vertical="bottom"/>
    </dxf>
    <dxf>
      <fill>
        <patternFill>
          <bgColor auto="1"/>
        </patternFill>
      </fill>
      <alignment horizontal="left" vertical="bottom"/>
    </dxf>
    <dxf>
      <numFmt numFmtId="0" formatCode="General"/>
      <alignment horizontal="left" vertical="bottom"/>
    </dxf>
    <dxf>
      <numFmt numFmtId="34" formatCode="_(&quot;$&quot;* #,##0.00_);_(&quot;$&quot;* \(#,##0.00\);_(&quot;$&quot;* &quot;-&quot;??_);_(@_)"/>
      <alignment horizontal="left" vertical="bottom"/>
    </dxf>
    <dxf>
      <numFmt numFmtId="0" formatCode="General"/>
      <alignment horizontal="left" vertical="bottom"/>
    </dxf>
    <dxf>
      <numFmt numFmtId="0" formatCode="General"/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ble3" displayName="Table3" ref="A1:F2" headerRowCount="1" totalsRowShown="0" headerRowDxfId="28" dataDxfId="27">
  <autoFilter ref="A1:F2"/>
  <sortState ref="A2:F468">
    <sortCondition ref="B1:B468"/>
  </sortState>
  <tableColumns count="6">
    <tableColumn id="5" name="Model" dataDxfId="26"/>
    <tableColumn id="6" name="Serial" dataDxfId="25"/>
    <tableColumn id="12" name="Type" dataDxfId="24"/>
    <tableColumn id="16" name="Size" dataDxfId="23"/>
    <tableColumn id="15" name="Repair Cost" dataDxfId="22"/>
    <tableColumn id="1" name="Parts Summary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7" displayName="Table7" ref="A1:F2" headerRowCount="1" totalsRowShown="0" headerRowDxfId="20" dataDxfId="19">
  <autoFilter ref="A1:F2"/>
  <tableColumns count="6">
    <tableColumn id="1" name="Model" dataDxfId="18"/>
    <tableColumn id="2" name="Serial" dataDxfId="17"/>
    <tableColumn id="3" name="Triage" dataDxfId="16"/>
    <tableColumn id="4" name="Derived Type" dataDxfId="15"/>
    <tableColumn id="6" name="Size" dataDxfId="14"/>
    <tableColumn id="8" name="Cost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PartTesting" displayName="TblPartTesting" ref="A1:J2" headerRowCount="1">
  <autoFilter ref="A1:J2"/>
  <tableColumns count="10">
    <tableColumn id="1" name="MSO"/>
    <tableColumn id="2" name="Request Date"/>
    <tableColumn id="3" name="Outbound Tracking"/>
    <tableColumn id="4" name="Part #"/>
    <tableColumn id="5" name="Type"/>
    <tableColumn id="6" name="Serial"/>
    <tableColumn id="7" name="Quantity"/>
    <tableColumn id="8" name="Individual Part Fee"/>
    <tableColumn id="9" name="Total Programming Fee"/>
    <tableColumn id="10" name="Part Pick Fe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E47"/>
  <sheetViews>
    <sheetView zoomScale="130" zoomScaleNormal="130" workbookViewId="0">
      <selection activeCell="D3" sqref="D2:D3"/>
    </sheetView>
  </sheetViews>
  <sheetFormatPr baseColWidth="8" defaultRowHeight="13.8"/>
  <cols>
    <col width="44.5546875" bestFit="1" customWidth="1" style="25" min="1" max="1"/>
    <col width="14.5546875" bestFit="1" customWidth="1" style="25" min="2" max="2"/>
    <col width="17.44140625" customWidth="1" style="25" min="3" max="3"/>
    <col width="16.44140625" customWidth="1" style="25" min="4" max="4"/>
    <col width="16" customWidth="1" style="25" min="5" max="5"/>
    <col width="8.88671875" customWidth="1" style="25" min="6" max="6"/>
    <col width="8.88671875" customWidth="1" style="25" min="7" max="16384"/>
  </cols>
  <sheetData>
    <row r="1">
      <c r="A1" s="26" t="inlineStr">
        <is>
          <t>9145 Ellis Road</t>
        </is>
      </c>
      <c r="D1" s="27" t="inlineStr">
        <is>
          <t>Call ID:</t>
        </is>
      </c>
      <c r="E1" s="28" t="inlineStr"/>
    </row>
    <row r="2">
      <c r="A2" s="26" t="inlineStr">
        <is>
          <t>Melbourne, FL 32904</t>
        </is>
      </c>
      <c r="D2" s="27" t="inlineStr">
        <is>
          <t>Currency:</t>
        </is>
      </c>
      <c r="E2" s="28" t="inlineStr">
        <is>
          <t>USD</t>
        </is>
      </c>
    </row>
    <row r="3">
      <c r="A3" s="29" t="inlineStr">
        <is>
          <t>www.ussiglobal.com</t>
        </is>
      </c>
      <c r="D3" s="27" t="inlineStr">
        <is>
          <t>Invoice Date:</t>
        </is>
      </c>
      <c r="E3" s="30" t="n">
        <v>36526</v>
      </c>
    </row>
    <row r="4">
      <c r="D4" s="27" t="inlineStr">
        <is>
          <t>Completed Date:</t>
        </is>
      </c>
      <c r="E4" s="30" t="n">
        <v>36526</v>
      </c>
    </row>
    <row r="5">
      <c r="D5" s="27" t="inlineStr">
        <is>
          <t>Customer:</t>
        </is>
      </c>
      <c r="E5" s="28" t="inlineStr"/>
    </row>
    <row r="6">
      <c r="D6" s="27" t="inlineStr">
        <is>
          <t>Terms:</t>
        </is>
      </c>
      <c r="E6" s="28" t="inlineStr">
        <is>
          <t>Net Amt Due in 45</t>
        </is>
      </c>
    </row>
    <row r="8" ht="21" customHeight="1">
      <c r="A8" s="31">
        <f>CONCATENATE("PROFORMA INVOICE: ",TEXT(E4,"MMMM YYYY"))</f>
        <v/>
      </c>
    </row>
    <row r="10">
      <c r="A10" s="32" t="inlineStr">
        <is>
          <t>Workshop</t>
        </is>
      </c>
      <c r="B10" s="33" t="inlineStr">
        <is>
          <t>Units of Measure</t>
        </is>
      </c>
      <c r="C10" s="33" t="inlineStr">
        <is>
          <t>Unit Price</t>
        </is>
      </c>
      <c r="D10" s="33" t="inlineStr">
        <is>
          <t>Quantity</t>
        </is>
      </c>
      <c r="E10" s="33" t="inlineStr">
        <is>
          <t>Total Amount</t>
        </is>
      </c>
    </row>
    <row r="11">
      <c r="A11" s="34" t="inlineStr">
        <is>
          <t>Standard ‘Basic’ Panel Triage &amp; Repair Small (65”-75”)</t>
        </is>
      </c>
      <c r="B11" s="34" t="inlineStr">
        <is>
          <t>Each</t>
        </is>
      </c>
      <c r="C11" s="35" t="n">
        <v>110</v>
      </c>
      <c r="D11" s="36">
        <f>COUNTIFS('Depot Repair'!C:C,"BASIC",'Depot Repair'!D:D,"Small")</f>
        <v/>
      </c>
      <c r="E11" s="35">
        <f>D11*C11</f>
        <v/>
      </c>
    </row>
    <row r="12">
      <c r="A12" s="34" t="inlineStr">
        <is>
          <t>Standard ‘Basic’ Panel Triage &amp; Repair Large (86”)</t>
        </is>
      </c>
      <c r="B12" s="34" t="inlineStr">
        <is>
          <t>Each</t>
        </is>
      </c>
      <c r="C12" s="35" t="n">
        <v>135</v>
      </c>
      <c r="D12" s="36">
        <f>COUNTIFS('Depot Repair'!C:C,"BASIC",'Depot Repair'!D:D,"LARGE")</f>
        <v/>
      </c>
      <c r="E12" s="35">
        <f>D12*C12</f>
        <v/>
      </c>
    </row>
    <row r="13">
      <c r="A13" s="34" t="inlineStr">
        <is>
          <t>Advanced ‘Heavy’ Panel Triage &amp; Repairs Small (65”-75”)</t>
        </is>
      </c>
      <c r="B13" s="34" t="inlineStr">
        <is>
          <t>Each</t>
        </is>
      </c>
      <c r="C13" s="35" t="n">
        <v>220</v>
      </c>
      <c r="D13" s="36">
        <f>COUNTIFS('Depot Repair'!C:C,"Heavy",'Depot Repair'!D:D,"Small")</f>
        <v/>
      </c>
      <c r="E13" s="35">
        <f>D13*C13</f>
        <v/>
      </c>
    </row>
    <row r="14">
      <c r="A14" s="34" t="inlineStr">
        <is>
          <t>Advanced ‘Heavy’ Panel Triage &amp; Repairs Large (86”)</t>
        </is>
      </c>
      <c r="B14" s="34" t="inlineStr">
        <is>
          <t>Each</t>
        </is>
      </c>
      <c r="C14" s="35" t="n">
        <v>268</v>
      </c>
      <c r="D14" s="36">
        <f>COUNTIFS('Depot Repair'!C:C,"Heavy",'Depot Repair'!D:D,"Large")</f>
        <v/>
      </c>
      <c r="E14" s="35">
        <f>D14*C14</f>
        <v/>
      </c>
    </row>
    <row r="16">
      <c r="A16" s="34" t="inlineStr">
        <is>
          <t>Standard ‘Basic’ Panel Triage Small (65”-75”)</t>
        </is>
      </c>
      <c r="B16" s="34" t="inlineStr">
        <is>
          <t>Each</t>
        </is>
      </c>
      <c r="C16" s="35" t="n">
        <v>86</v>
      </c>
      <c r="D16" s="36">
        <f>COUNTIFS('Triage Units'!D:D,"BasicSmall-Triage")</f>
        <v/>
      </c>
      <c r="E16" s="35">
        <f>D16*C16</f>
        <v/>
      </c>
    </row>
    <row r="17">
      <c r="A17" s="34" t="inlineStr">
        <is>
          <t>Standard ‘Basic’ Panel Triage Large (86”)</t>
        </is>
      </c>
      <c r="B17" s="34" t="inlineStr">
        <is>
          <t>Each</t>
        </is>
      </c>
      <c r="C17" s="35" t="n">
        <v>101</v>
      </c>
      <c r="D17" s="36">
        <f>COUNTIFS('Triage Units'!D:D,"BasicLarge-Triage")</f>
        <v/>
      </c>
      <c r="E17" s="35">
        <f>D17*C17</f>
        <v/>
      </c>
    </row>
    <row r="18">
      <c r="A18" s="34" t="inlineStr">
        <is>
          <t>Advanced ‘Heavy’ Panel Triage Small (65”-75”)</t>
        </is>
      </c>
      <c r="B18" s="34" t="inlineStr">
        <is>
          <t>Each</t>
        </is>
      </c>
      <c r="C18" s="35" t="n">
        <v>152</v>
      </c>
      <c r="D18" s="36">
        <f>COUNTIFS('Triage Units'!D:D,"HeavySmall-Triage")</f>
        <v/>
      </c>
      <c r="E18" s="35">
        <f>D18*C18</f>
        <v/>
      </c>
    </row>
    <row r="19">
      <c r="A19" s="34" t="inlineStr">
        <is>
          <t>Advanced ‘Heavy’ Panel Triage Large (86”)</t>
        </is>
      </c>
      <c r="B19" s="34" t="inlineStr">
        <is>
          <t>Each</t>
        </is>
      </c>
      <c r="C19" s="35" t="n">
        <v>181</v>
      </c>
      <c r="D19" s="36">
        <f>COUNTIFS('Triage Units'!D:D,"HeavyLarge-Triage")</f>
        <v/>
      </c>
      <c r="E19" s="35">
        <f>D19*C19</f>
        <v/>
      </c>
    </row>
    <row r="21">
      <c r="A21" s="34" t="inlineStr">
        <is>
          <t>Standard ‘Basic’ Panel Repair Small (65”-75”)</t>
        </is>
      </c>
      <c r="B21" s="34" t="inlineStr">
        <is>
          <t>Each</t>
        </is>
      </c>
      <c r="C21" s="35" t="n">
        <v>64</v>
      </c>
      <c r="D21" s="36">
        <f>COUNTIFS('Depot Repair'!C:C,"BasicSmall - Previously Triaged")</f>
        <v/>
      </c>
      <c r="E21" s="35">
        <f>D21*C21</f>
        <v/>
      </c>
    </row>
    <row r="22">
      <c r="A22" s="34" t="inlineStr">
        <is>
          <t>Standard ‘Basic’ Panel Repair Large (86”)</t>
        </is>
      </c>
      <c r="B22" s="34" t="inlineStr">
        <is>
          <t>Each</t>
        </is>
      </c>
      <c r="C22" s="35" t="n">
        <v>74</v>
      </c>
      <c r="D22" s="36">
        <f>COUNTIFS('Depot Repair'!C:C,"BasicLarge - Previously Triaged")</f>
        <v/>
      </c>
      <c r="E22" s="35">
        <f>D22*C22</f>
        <v/>
      </c>
    </row>
    <row r="23">
      <c r="A23" s="34" t="inlineStr">
        <is>
          <t>Advanced ‘Heavy’ Panel Repair Small (65”-75”)</t>
        </is>
      </c>
      <c r="B23" s="34" t="inlineStr">
        <is>
          <t>Each</t>
        </is>
      </c>
      <c r="C23" s="35" t="n">
        <v>108</v>
      </c>
      <c r="D23" s="36">
        <f>COUNTIFS('Depot Repair'!C:C,"HeavySmall - Previously Triaged")</f>
        <v/>
      </c>
      <c r="E23" s="35">
        <f>D23*C23</f>
        <v/>
      </c>
    </row>
    <row r="24">
      <c r="A24" s="34" t="inlineStr">
        <is>
          <t>Advanced ‘Heavy’ Panel Repair Large (86”)</t>
        </is>
      </c>
      <c r="B24" s="34" t="inlineStr">
        <is>
          <t>Each</t>
        </is>
      </c>
      <c r="C24" s="35" t="n">
        <v>127</v>
      </c>
      <c r="D24" s="36">
        <f>COUNTIFS('Depot Repair'!C:C,"HeavyLarge - Previously Triaged")</f>
        <v/>
      </c>
      <c r="E24" s="35">
        <f>D24*C24</f>
        <v/>
      </c>
    </row>
    <row r="26">
      <c r="A26" s="34" t="inlineStr">
        <is>
          <t>Reboxing Fee</t>
        </is>
      </c>
      <c r="B26" s="34" t="inlineStr">
        <is>
          <t>Each</t>
        </is>
      </c>
      <c r="C26" s="35" t="n">
        <v>50</v>
      </c>
      <c r="D26" s="36" t="n">
        <v>0</v>
      </c>
      <c r="E26" s="35">
        <f>D26*C26</f>
        <v/>
      </c>
    </row>
    <row r="28">
      <c r="A28" s="34" t="inlineStr">
        <is>
          <t>Immediate Scrap</t>
        </is>
      </c>
      <c r="B28" s="34" t="inlineStr">
        <is>
          <t>Each</t>
        </is>
      </c>
      <c r="C28" s="35" t="n">
        <v>19</v>
      </c>
      <c r="D28" s="36">
        <f>COUNTIFS('Depot Repair'!C:C,"Immediate Scrap")</f>
        <v/>
      </c>
      <c r="E28" s="35">
        <f>D28*C28</f>
        <v/>
      </c>
    </row>
    <row r="29">
      <c r="A29" s="34" t="inlineStr">
        <is>
          <t>Salvage of Hardware and Scrap</t>
        </is>
      </c>
      <c r="B29" s="34" t="inlineStr">
        <is>
          <t>Each</t>
        </is>
      </c>
      <c r="C29" s="35" t="n">
        <v>28</v>
      </c>
      <c r="D29" s="36">
        <f>COUNTIFS('Depot Repair'!C:C,"Salvage of Hardware and Scrap")</f>
        <v/>
      </c>
      <c r="E29" s="35">
        <f>D29*C29</f>
        <v/>
      </c>
    </row>
    <row r="31">
      <c r="A31" s="34" t="inlineStr">
        <is>
          <t>Special Warehouse Projects</t>
        </is>
      </c>
      <c r="B31" s="34" t="inlineStr">
        <is>
          <t>Hourly</t>
        </is>
      </c>
      <c r="C31" s="35" t="n">
        <v>75</v>
      </c>
      <c r="D31" s="36" t="n">
        <v>0</v>
      </c>
      <c r="E31" s="35">
        <f>D31*C31</f>
        <v/>
      </c>
    </row>
    <row r="33">
      <c r="A33" s="32" t="inlineStr">
        <is>
          <t>Parts Testing &amp; Configuration</t>
        </is>
      </c>
      <c r="B33" s="33" t="inlineStr">
        <is>
          <t>Units of Measure</t>
        </is>
      </c>
      <c r="C33" s="33" t="inlineStr">
        <is>
          <t>Unit Price</t>
        </is>
      </c>
      <c r="D33" s="33" t="inlineStr">
        <is>
          <t>Quantity</t>
        </is>
      </c>
      <c r="E33" s="33" t="inlineStr">
        <is>
          <t>Total Amount</t>
        </is>
      </c>
    </row>
    <row r="34">
      <c r="A34" s="34" t="inlineStr">
        <is>
          <t>PSU - Testing</t>
        </is>
      </c>
      <c r="B34" s="34" t="inlineStr">
        <is>
          <t>Each</t>
        </is>
      </c>
      <c r="C34" s="35" t="n">
        <v>7</v>
      </c>
      <c r="D34" s="36">
        <f>SUMIFS(TblPartTesting[Quantity],TblPartTesting[Type],"PSU")</f>
        <v/>
      </c>
      <c r="E34" s="35">
        <f>D34*C34</f>
        <v/>
      </c>
    </row>
    <row r="35">
      <c r="A35" s="34" t="inlineStr">
        <is>
          <t>Mainboard Configure for Dispatch - Testing</t>
        </is>
      </c>
      <c r="B35" s="34" t="inlineStr">
        <is>
          <t>Each</t>
        </is>
      </c>
      <c r="C35" s="35" t="n">
        <v>52</v>
      </c>
      <c r="D35" s="36">
        <f>SUMIFS(TblPartTesting[Quantity],TblPartTesting[Type],"Mainboard Configure for Dispatch")</f>
        <v/>
      </c>
      <c r="E35" s="35">
        <f>D35*C35</f>
        <v/>
      </c>
    </row>
    <row r="36">
      <c r="A36" s="34" t="inlineStr">
        <is>
          <t>Mainboard - Testing</t>
        </is>
      </c>
      <c r="B36" s="34" t="inlineStr">
        <is>
          <t>Each</t>
        </is>
      </c>
      <c r="C36" s="35" t="n">
        <v>37</v>
      </c>
      <c r="D36" s="36">
        <f>SUMIFS(TblPartTesting[Quantity],TblPartTesting[Type],"Mainboard")</f>
        <v/>
      </c>
      <c r="E36" s="35">
        <f>D36*C36</f>
        <v/>
      </c>
    </row>
    <row r="37">
      <c r="A37" s="34" t="inlineStr">
        <is>
          <t>AC-PCA - Testing</t>
        </is>
      </c>
      <c r="B37" s="34" t="inlineStr">
        <is>
          <t>Each</t>
        </is>
      </c>
      <c r="C37" s="35" t="n">
        <v>4</v>
      </c>
      <c r="D37" s="36">
        <f>SUMIFS(TblPartTesting[Quantity],TblPartTesting[Type],"AC-PCA")</f>
        <v/>
      </c>
      <c r="E37" s="35">
        <f>D37*C37</f>
        <v/>
      </c>
    </row>
    <row r="38">
      <c r="A38" s="34" t="inlineStr">
        <is>
          <t>Keypad - Testing</t>
        </is>
      </c>
      <c r="B38" s="34" t="inlineStr">
        <is>
          <t>Each</t>
        </is>
      </c>
      <c r="C38" s="35" t="n">
        <v>4</v>
      </c>
      <c r="D38" s="36">
        <f>SUMIFS(TblPartTesting[Quantity],TblPartTesting[Type],"Keypad")</f>
        <v/>
      </c>
      <c r="E38" s="35">
        <f>D38*C38</f>
        <v/>
      </c>
    </row>
    <row r="39">
      <c r="A39" s="34" t="inlineStr">
        <is>
          <t>Maintouch - Testing</t>
        </is>
      </c>
      <c r="B39" s="34" t="inlineStr">
        <is>
          <t>Each</t>
        </is>
      </c>
      <c r="C39" s="35" t="n">
        <v>37</v>
      </c>
      <c r="D39" s="36">
        <f>SUMIFS(TblPartTesting[Quantity],TblPartTesting[Type],"Maintouch")</f>
        <v/>
      </c>
      <c r="E39" s="35">
        <f>D39*C39</f>
        <v/>
      </c>
    </row>
    <row r="40">
      <c r="A40" s="34" t="inlineStr">
        <is>
          <t>Ext-Input - Testing</t>
        </is>
      </c>
      <c r="B40" s="34" t="inlineStr">
        <is>
          <t>Each</t>
        </is>
      </c>
      <c r="C40" s="35" t="n">
        <v>7</v>
      </c>
      <c r="D40" s="36">
        <f>SUMIFS(TblPartTesting[Quantity],TblPartTesting[Type],"EXT-INPUT")</f>
        <v/>
      </c>
      <c r="E40" s="35">
        <f>D40*C40</f>
        <v/>
      </c>
    </row>
    <row r="41">
      <c r="A41" s="34" t="inlineStr">
        <is>
          <t>OPS-PCA - Testing</t>
        </is>
      </c>
      <c r="B41" s="34" t="inlineStr">
        <is>
          <t>Each</t>
        </is>
      </c>
      <c r="C41" s="35" t="n">
        <v>4</v>
      </c>
      <c r="D41" s="36">
        <f>SUMIFS(TblPartTesting[Quantity],TblPartTesting[Type],"OPS-PCA")</f>
        <v/>
      </c>
      <c r="E41" s="35">
        <f>D41*C41</f>
        <v/>
      </c>
    </row>
    <row r="42">
      <c r="A42" s="34" t="inlineStr">
        <is>
          <t>USB - Testing</t>
        </is>
      </c>
      <c r="B42" s="34" t="inlineStr">
        <is>
          <t>Each</t>
        </is>
      </c>
      <c r="C42" s="35" t="n">
        <v>4</v>
      </c>
      <c r="D42" s="36">
        <f>SUMIFS(TblPartTesting[Quantity],TblPartTesting[Type],"USB")</f>
        <v/>
      </c>
      <c r="E42" s="35">
        <f>D42*C42</f>
        <v/>
      </c>
    </row>
    <row r="43">
      <c r="A43" s="34" t="inlineStr">
        <is>
          <t>Speaker Testing</t>
        </is>
      </c>
      <c r="B43" s="34" t="inlineStr">
        <is>
          <t>Each</t>
        </is>
      </c>
      <c r="C43" s="35" t="n">
        <v>4</v>
      </c>
      <c r="D43" s="36">
        <f>SUMIFS(TblPartTesting[Quantity],TblPartTesting[Type],"SPEAKER")</f>
        <v/>
      </c>
      <c r="E43" s="35">
        <f>D43*C43</f>
        <v/>
      </c>
    </row>
    <row r="45">
      <c r="D45" s="37" t="inlineStr">
        <is>
          <t>Subtotal</t>
        </is>
      </c>
      <c r="E45" s="35">
        <f>SUM(E11:E43)</f>
        <v/>
      </c>
    </row>
    <row r="46">
      <c r="D46" s="37" t="inlineStr">
        <is>
          <t>Tax</t>
        </is>
      </c>
      <c r="E46" s="35">
        <f>E45*7%</f>
        <v/>
      </c>
    </row>
    <row r="47">
      <c r="D47" s="37" t="inlineStr">
        <is>
          <t>Total</t>
        </is>
      </c>
      <c r="E47" s="38">
        <f>SUM(E45:E46)</f>
        <v/>
      </c>
    </row>
  </sheetData>
  <mergeCells count="1">
    <mergeCell ref="A8:E8"/>
  </mergeCells>
  <pageMargins left="0.7" right="0.7" top="0.75" bottom="0.75" header="0.3" footer="0.3"/>
  <pageSetup orientation="portrait" scale="8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2"/>
  <sheetViews>
    <sheetView topLeftCell="A211" workbookViewId="0">
      <selection activeCell="A247" sqref="A247:XFD247"/>
    </sheetView>
  </sheetViews>
  <sheetFormatPr baseColWidth="8" defaultRowHeight="14.4"/>
  <cols>
    <col width="21.44140625" customWidth="1" min="1" max="1"/>
    <col width="26.21875" customWidth="1" min="2" max="2"/>
    <col width="31.21875" customWidth="1" min="3" max="3"/>
    <col width="13.33203125" customWidth="1" min="4" max="4"/>
    <col width="20.5546875" customWidth="1" min="5" max="5"/>
    <col width="35.44140625" customWidth="1" min="6" max="6"/>
  </cols>
  <sheetData>
    <row r="1">
      <c r="A1" s="39" t="inlineStr">
        <is>
          <t>Model</t>
        </is>
      </c>
      <c r="B1" s="39" t="inlineStr">
        <is>
          <t>Serial</t>
        </is>
      </c>
      <c r="C1" s="39" t="inlineStr">
        <is>
          <t>Type</t>
        </is>
      </c>
      <c r="D1" s="39" t="inlineStr">
        <is>
          <t>Size</t>
        </is>
      </c>
      <c r="E1" s="39" t="inlineStr">
        <is>
          <t>Repair Cost</t>
        </is>
      </c>
      <c r="F1" s="39" t="inlineStr">
        <is>
          <t>Parts Summary</t>
        </is>
      </c>
    </row>
    <row r="2">
      <c r="A2" s="40" t="n"/>
      <c r="B2" s="40" t="n"/>
      <c r="C2" s="40" t="n"/>
      <c r="D2" s="40" t="n"/>
      <c r="E2" s="41" t="n"/>
      <c r="F2" s="40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9">
    <outlinePr summaryBelow="1" summaryRight="1"/>
    <pageSetUpPr/>
  </sheetPr>
  <dimension ref="A1:F2"/>
  <sheetViews>
    <sheetView topLeftCell="A91" workbookViewId="0">
      <selection activeCell="B134" sqref="B134"/>
    </sheetView>
  </sheetViews>
  <sheetFormatPr baseColWidth="8" defaultRowHeight="14.4"/>
  <cols>
    <col width="21.6640625" customWidth="1" style="1" min="1" max="1"/>
    <col width="25.88671875" customWidth="1" style="1" min="2" max="2"/>
    <col width="44.88671875" bestFit="1" customWidth="1" style="1" min="3" max="3"/>
    <col width="17.88671875" customWidth="1" style="1" min="4" max="4"/>
    <col width="15.109375" customWidth="1" style="1" min="5" max="5"/>
    <col width="13.5546875" customWidth="1" style="1" min="6" max="6"/>
    <col width="8.88671875" customWidth="1" style="1" min="7" max="7"/>
    <col width="8.88671875" customWidth="1" style="1" min="8" max="16384"/>
  </cols>
  <sheetData>
    <row r="1">
      <c r="A1" s="39" t="inlineStr">
        <is>
          <t>Model</t>
        </is>
      </c>
      <c r="B1" s="39" t="inlineStr">
        <is>
          <t>Serial</t>
        </is>
      </c>
      <c r="C1" s="39" t="inlineStr">
        <is>
          <t>Triage</t>
        </is>
      </c>
      <c r="D1" s="39" t="inlineStr">
        <is>
          <t>Derived Type</t>
        </is>
      </c>
      <c r="E1" s="39" t="inlineStr">
        <is>
          <t>Size</t>
        </is>
      </c>
      <c r="F1" s="39" t="inlineStr">
        <is>
          <t>Cost</t>
        </is>
      </c>
    </row>
    <row r="2">
      <c r="A2" s="40" t="n"/>
      <c r="B2" s="40" t="n"/>
      <c r="C2" s="40" t="n"/>
      <c r="D2" s="40" t="n"/>
      <c r="E2" s="40" t="n"/>
      <c r="F2" s="4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tabSelected="1" workbookViewId="0">
      <selection activeCell="D20" sqref="A1:J204"/>
    </sheetView>
  </sheetViews>
  <sheetFormatPr baseColWidth="8" defaultRowHeight="14.4"/>
  <cols>
    <col width="14" customWidth="1" min="1" max="1"/>
    <col width="13" customWidth="1" min="2" max="2"/>
    <col width="18" customWidth="1" style="19" min="3" max="3"/>
    <col width="30" customWidth="1" min="4" max="4"/>
    <col width="28" customWidth="1" min="5" max="5"/>
    <col width="16" bestFit="1" customWidth="1" min="6" max="6"/>
    <col width="10" bestFit="1" customWidth="1" style="18" min="7" max="7"/>
    <col width="20" customWidth="1" style="18" min="8" max="8"/>
    <col width="22" bestFit="1" customWidth="1" min="9" max="9"/>
    <col width="14" customWidth="1" min="10" max="10"/>
    <col width="24.6640625" bestFit="1" customWidth="1" min="11" max="11"/>
  </cols>
  <sheetData>
    <row r="1">
      <c r="A1" s="42" t="inlineStr">
        <is>
          <t>MSO</t>
        </is>
      </c>
      <c r="B1" s="42" t="inlineStr">
        <is>
          <t>Request Date</t>
        </is>
      </c>
      <c r="C1" s="42" t="inlineStr">
        <is>
          <t>Outbound Tracking</t>
        </is>
      </c>
      <c r="D1" s="42" t="inlineStr">
        <is>
          <t>Part #</t>
        </is>
      </c>
      <c r="E1" s="42" t="inlineStr">
        <is>
          <t>Type</t>
        </is>
      </c>
      <c r="F1" s="42" t="inlineStr">
        <is>
          <t>Serial</t>
        </is>
      </c>
      <c r="G1" s="42" t="inlineStr">
        <is>
          <t>Quantity</t>
        </is>
      </c>
      <c r="H1" s="42" t="inlineStr">
        <is>
          <t>Individual Part Fee</t>
        </is>
      </c>
      <c r="I1" s="42" t="inlineStr">
        <is>
          <t>Total Programming Fee</t>
        </is>
      </c>
      <c r="J1" s="42" t="inlineStr">
        <is>
          <t>Part Pick Fee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16" customWidth="1" min="4" max="4"/>
    <col width="38" customWidth="1" min="5" max="5"/>
    <col width="14" customWidth="1" min="6" max="6"/>
    <col width="55" customWidth="1" min="7" max="7"/>
  </cols>
  <sheetData>
    <row r="1">
      <c r="A1" s="43" t="inlineStr">
        <is>
          <t>Model</t>
        </is>
      </c>
      <c r="B1" s="43" t="inlineStr">
        <is>
          <t>Serial</t>
        </is>
      </c>
      <c r="C1" s="43" t="inlineStr">
        <is>
          <t>Source Tab</t>
        </is>
      </c>
      <c r="D1" s="43" t="inlineStr">
        <is>
          <t>Category</t>
        </is>
      </c>
      <c r="E1" s="43" t="inlineStr">
        <is>
          <t>Result</t>
        </is>
      </c>
      <c r="F1" s="43" t="inlineStr">
        <is>
          <t>Original Date</t>
        </is>
      </c>
      <c r="G1" s="43" t="inlineStr">
        <is>
          <t>Reason</t>
        </is>
      </c>
    </row>
    <row r="2">
      <c r="A2" s="3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 Shaw</dc:creator>
  <dcterms:created xmlns:dcterms="http://purl.org/dc/terms/" xmlns:xsi="http://www.w3.org/2001/XMLSchema-instance" xsi:type="dcterms:W3CDTF">2025-03-11T16:01:35Z</dcterms:created>
  <dcterms:modified xmlns:dcterms="http://purl.org/dc/terms/" xmlns:xsi="http://www.w3.org/2001/XMLSchema-instance" xsi:type="dcterms:W3CDTF">2026-09-14T16:32:07Z</dcterms:modified>
  <cp:lastModifiedBy>Matt Shaw</cp:lastModifiedBy>
  <cp:lastPrinted>2026-02-06T12:52:29Z</cp:lastPrinted>
</cp:coreProperties>
</file>